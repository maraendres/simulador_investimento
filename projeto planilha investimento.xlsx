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52ca60700354eb/Desktop/excel/"/>
    </mc:Choice>
  </mc:AlternateContent>
  <xr:revisionPtr revIDLastSave="1035" documentId="8_{281D4797-253F-49D2-A54C-206136AB88B1}" xr6:coauthVersionLast="47" xr6:coauthVersionMax="47" xr10:uidLastSave="{853555DC-CF31-43CA-8CC2-08B5BBB2653E}"/>
  <bookViews>
    <workbookView xWindow="-120" yWindow="-120" windowWidth="20730" windowHeight="11040" tabRatio="0" xr2:uid="{0B1E737D-CCEC-4789-80F2-DA34506C2588}"/>
  </bookViews>
  <sheets>
    <sheet name="Planilha1" sheetId="1" r:id="rId1"/>
    <sheet name="Planilha2" sheetId="2" r:id="rId2"/>
  </sheets>
  <definedNames>
    <definedName name="aporte">Planilha1!$D$18</definedName>
    <definedName name="patrimonio">Planilha1!$D$21</definedName>
    <definedName name="qtdd_anos">Planilha1!$D$19</definedName>
    <definedName name="Rendimento_Carteira">Planilha1!$D$14</definedName>
    <definedName name="salário">Planilha1!$D$13</definedName>
    <definedName name="taxa_mensal">Planilha1!$D$20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4" i="1" l="1"/>
  <c r="C25" i="1"/>
  <c r="D25" i="1" s="1"/>
  <c r="D21" i="1"/>
  <c r="D22" i="1" s="1"/>
  <c r="D15" i="1"/>
  <c r="C38" i="1"/>
  <c r="C39" i="1"/>
  <c r="C40" i="1"/>
  <c r="C41" i="1"/>
  <c r="C42" i="1"/>
  <c r="C37" i="1"/>
  <c r="A14" i="2"/>
  <c r="A15" i="2"/>
  <c r="A16" i="2"/>
  <c r="A17" i="2"/>
  <c r="A18" i="2"/>
  <c r="A19" i="2"/>
  <c r="A8" i="2"/>
  <c r="A9" i="2"/>
  <c r="A10" i="2"/>
  <c r="A11" i="2"/>
  <c r="A12" i="2"/>
  <c r="A13" i="2"/>
  <c r="A3" i="2"/>
  <c r="A4" i="2"/>
  <c r="A5" i="2"/>
  <c r="A6" i="2"/>
  <c r="A7" i="2"/>
  <c r="A2" i="2"/>
  <c r="C26" i="1"/>
  <c r="D26" i="1" s="1"/>
  <c r="C27" i="1"/>
  <c r="D27" i="1" s="1"/>
  <c r="C28" i="1"/>
  <c r="D28" i="1" s="1"/>
  <c r="C29" i="1"/>
  <c r="D29" i="1" s="1"/>
  <c r="D38" i="1" l="1"/>
  <c r="D40" i="1"/>
  <c r="D39" i="1"/>
  <c r="D41" i="1"/>
  <c r="D37" i="1"/>
  <c r="D42" i="1"/>
  <c r="D43" i="1" l="1"/>
</calcChain>
</file>

<file path=xl/sharedStrings.xml><?xml version="1.0" encoding="utf-8"?>
<sst xmlns="http://schemas.openxmlformats.org/spreadsheetml/2006/main" count="70" uniqueCount="34">
  <si>
    <t>Dividendos Mensais</t>
  </si>
  <si>
    <t>Patrimonio Acumulado</t>
  </si>
  <si>
    <t>Taxa de Rendimento Mensal</t>
  </si>
  <si>
    <t>Por quantos anos</t>
  </si>
  <si>
    <t>Quanto investir por mês</t>
  </si>
  <si>
    <t>Dividendo</t>
  </si>
  <si>
    <t>Salário</t>
  </si>
  <si>
    <t>Rendimento Carteira</t>
  </si>
  <si>
    <t>Sugestao de Investimento</t>
  </si>
  <si>
    <t>PERFIL</t>
  </si>
  <si>
    <t>Agressivo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</si>
  <si>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</si>
  <si>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</si>
  <si>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</si>
  <si>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</si>
  <si>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</si>
  <si>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</si>
  <si>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</si>
  <si>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</si>
  <si>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</si>
  <si>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</si>
  <si>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</si>
  <si>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</si>
  <si>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</si>
  <si>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</t>
  </si>
  <si>
    <t>Acumulado em 2 anos</t>
  </si>
  <si>
    <t>Acumulado em 5 anos</t>
  </si>
  <si>
    <t>Acumulado em 10 anos</t>
  </si>
  <si>
    <t>Acumulado em 20 anos</t>
  </si>
  <si>
    <t>Acumulado em 30 anos</t>
  </si>
  <si>
    <t>Auxiliar de Investimento</t>
  </si>
  <si>
    <t>Outros Cenários</t>
  </si>
  <si>
    <t>META DE PATRIMÔNIO</t>
  </si>
  <si>
    <t>QUANTO INVESTIR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</si>
</sst>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7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Segoe UI Light"/>
      <family val="2"/>
    </font>
    <font>
      <b/>
      <sz val="11"/>
      <color theme="1"/>
      <name val="Segoe UI Light"/>
      <family val="2"/>
    </font>
    <font>
      <b/>
      <sz val="12"/>
      <color theme="1"/>
      <name val="Segoe UI Light"/>
      <family val="2"/>
    </font>
    <font>
      <b/>
      <sz val="11"/>
      <color theme="0"/>
      <name val="Segoe UI Semibold"/>
      <family val="2"/>
    </font>
    <font>
      <b/>
      <sz val="16"/>
      <color theme="1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sz val="11"/>
      <color theme="5" tint="-0.249977111117893"/>
      <name val="Segoe UI Light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</fills>
  <borders count="38">
    <border>
      <left/>
      <right/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 tint="0.34998626667073579"/>
      </right>
      <top/>
      <bottom style="thin">
        <color theme="0" tint="-0.14996795556505021"/>
      </bottom>
      <diagonal/>
    </border>
    <border>
      <left style="medium">
        <color theme="1" tint="0.34998626667073579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theme="1" tint="0.34998626667073579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1" tint="0.34998626667073579"/>
      </left>
      <right style="thin">
        <color theme="0" tint="-0.14996795556505021"/>
      </right>
      <top style="thin">
        <color theme="0" tint="-0.14996795556505021"/>
      </top>
      <bottom style="medium">
        <color theme="1" tint="0.34998626667073579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theme="1" tint="0.34998626667073579"/>
      </bottom>
      <diagonal/>
    </border>
    <border>
      <left style="thin">
        <color theme="0" tint="-0.14996795556505021"/>
      </left>
      <right style="medium">
        <color theme="1" tint="0.34998626667073579"/>
      </right>
      <top style="thin">
        <color theme="0" tint="-0.14996795556505021"/>
      </top>
      <bottom style="medium">
        <color theme="1" tint="0.34998626667073579"/>
      </bottom>
      <diagonal/>
    </border>
    <border>
      <left style="medium">
        <color theme="1" tint="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indexed="64"/>
      </top>
      <bottom/>
      <diagonal/>
    </border>
    <border>
      <left style="hair">
        <color theme="1" tint="0.34998626667073579"/>
      </left>
      <right/>
      <top style="hair">
        <color theme="1" tint="0.34998626667073579"/>
      </top>
      <bottom/>
      <diagonal/>
    </border>
    <border>
      <left/>
      <right/>
      <top style="hair">
        <color theme="1" tint="0.34998626667073579"/>
      </top>
      <bottom/>
      <diagonal/>
    </border>
    <border>
      <left style="hair">
        <color theme="1" tint="0.34998626667073579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hair">
        <color theme="1" tint="0.34998626667073579"/>
      </right>
      <top/>
      <bottom style="thin">
        <color theme="0" tint="-0.14996795556505021"/>
      </bottom>
      <diagonal/>
    </border>
    <border>
      <left style="hair">
        <color theme="1" tint="0.34998626667073579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theme="1" tint="0.34998626667073579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hair">
        <color theme="1" tint="0.34998626667073579"/>
      </left>
      <right/>
      <top/>
      <bottom style="hair">
        <color theme="1" tint="0.34998626667073579"/>
      </bottom>
      <diagonal/>
    </border>
    <border>
      <left/>
      <right/>
      <top/>
      <bottom style="hair">
        <color theme="1" tint="0.34998626667073579"/>
      </bottom>
      <diagonal/>
    </border>
    <border>
      <left/>
      <right style="hair">
        <color theme="1" tint="0.34998626667073579"/>
      </right>
      <top/>
      <bottom style="hair">
        <color theme="1" tint="0.34998626667073579"/>
      </bottom>
      <diagonal/>
    </border>
    <border>
      <left style="thick">
        <color theme="5" tint="0.59996337778862885"/>
      </left>
      <right style="thick">
        <color theme="5" tint="0.59996337778862885"/>
      </right>
      <top style="thick">
        <color theme="5" tint="0.59996337778862885"/>
      </top>
      <bottom style="thin">
        <color theme="0" tint="-0.14996795556505021"/>
      </bottom>
      <diagonal/>
    </border>
    <border>
      <left style="thick">
        <color theme="5" tint="0.59996337778862885"/>
      </left>
      <right style="thick">
        <color theme="5" tint="0.59996337778862885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5" tint="0.59996337778862885"/>
      </left>
      <right style="thick">
        <color theme="5" tint="0.59996337778862885"/>
      </right>
      <top style="thin">
        <color theme="0" tint="-0.14996795556505021"/>
      </top>
      <bottom style="thick">
        <color theme="5" tint="0.59996337778862885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theme="3" tint="0.499984740745262"/>
      </left>
      <right style="thin">
        <color theme="0" tint="-0.14996795556505021"/>
      </right>
      <top style="thick">
        <color theme="3" tint="0.499984740745262"/>
      </top>
      <bottom style="thick">
        <color theme="3" tint="0.499984740745262"/>
      </bottom>
      <diagonal/>
    </border>
    <border>
      <left style="thin">
        <color theme="0" tint="-0.14996795556505021"/>
      </left>
      <right style="thick">
        <color theme="3" tint="0.499984740745262"/>
      </right>
      <top style="thick">
        <color theme="3" tint="0.499984740745262"/>
      </top>
      <bottom style="thick">
        <color theme="3" tint="0.499984740745262"/>
      </bottom>
      <diagonal/>
    </border>
    <border>
      <left style="medium">
        <color theme="0" tint="-0.14996795556505021"/>
      </left>
      <right style="hair">
        <color theme="1" tint="0.34998626667073579"/>
      </right>
      <top/>
      <bottom style="hair">
        <color theme="1" tint="0.34998626667073579"/>
      </bottom>
      <diagonal/>
    </border>
    <border>
      <left style="medium">
        <color theme="0" tint="-0.14996795556505021"/>
      </left>
      <right style="medium">
        <color theme="0" tint="-0.14996795556505021"/>
      </right>
      <top/>
      <bottom style="hair">
        <color theme="1" tint="0.34998626667073579"/>
      </bottom>
      <diagonal/>
    </border>
    <border>
      <left style="hair">
        <color theme="1" tint="0.34998626667073579"/>
      </left>
      <right/>
      <top style="hair">
        <color theme="1" tint="0.34998626667073579"/>
      </top>
      <bottom style="medium">
        <color theme="0" tint="-0.14996795556505021"/>
      </bottom>
      <diagonal/>
    </border>
    <border>
      <left style="hair">
        <color theme="1" tint="0.34998626667073579"/>
      </left>
      <right style="medium">
        <color theme="0" tint="-0.14996795556505021"/>
      </right>
      <top style="medium">
        <color theme="0" tint="-0.14996795556505021"/>
      </top>
      <bottom style="hair">
        <color theme="1" tint="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69">
    <xf numFmtId="0" fontId="0" fillId="0" borderId="0" xfId="0"/>
    <xf numFmtId="0" fontId="0" fillId="0" borderId="0" xfId="0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9" fontId="0" fillId="0" borderId="0" xfId="0" applyNumberFormat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9" fontId="0" fillId="0" borderId="4" xfId="0" applyNumberFormat="1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0" fontId="0" fillId="7" borderId="0" xfId="0" applyFill="1" applyProtection="1"/>
    <xf numFmtId="0" fontId="3" fillId="5" borderId="19" xfId="0" applyFont="1" applyFill="1" applyBorder="1" applyAlignment="1" applyProtection="1">
      <alignment horizontal="center" vertical="center"/>
    </xf>
    <xf numFmtId="0" fontId="3" fillId="5" borderId="20" xfId="0" applyFont="1" applyFill="1" applyBorder="1" applyAlignment="1" applyProtection="1">
      <alignment horizontal="center" vertical="center"/>
    </xf>
    <xf numFmtId="167" fontId="3" fillId="5" borderId="22" xfId="0" applyNumberFormat="1" applyFont="1" applyFill="1" applyBorder="1" applyAlignment="1" applyProtection="1">
      <alignment horizontal="center"/>
    </xf>
    <xf numFmtId="0" fontId="0" fillId="4" borderId="21" xfId="0" applyFill="1" applyBorder="1" applyAlignment="1" applyProtection="1">
      <alignment horizontal="center"/>
    </xf>
    <xf numFmtId="9" fontId="0" fillId="4" borderId="5" xfId="0" applyNumberFormat="1" applyFill="1" applyBorder="1" applyAlignment="1" applyProtection="1">
      <alignment horizontal="center"/>
    </xf>
    <xf numFmtId="167" fontId="0" fillId="5" borderId="22" xfId="0" applyNumberFormat="1" applyFill="1" applyBorder="1" applyAlignment="1" applyProtection="1">
      <alignment horizontal="center"/>
    </xf>
    <xf numFmtId="0" fontId="0" fillId="4" borderId="23" xfId="0" applyFill="1" applyBorder="1" applyAlignment="1" applyProtection="1">
      <alignment horizontal="center"/>
    </xf>
    <xf numFmtId="0" fontId="0" fillId="4" borderId="24" xfId="0" applyFill="1" applyBorder="1" applyAlignment="1" applyProtection="1">
      <alignment horizontal="center"/>
    </xf>
    <xf numFmtId="0" fontId="0" fillId="5" borderId="25" xfId="0" applyFill="1" applyBorder="1" applyProtection="1"/>
    <xf numFmtId="0" fontId="0" fillId="5" borderId="26" xfId="0" applyFill="1" applyBorder="1" applyProtection="1"/>
    <xf numFmtId="167" fontId="3" fillId="5" borderId="27" xfId="0" applyNumberFormat="1" applyFont="1" applyFill="1" applyBorder="1" applyAlignment="1" applyProtection="1">
      <alignment horizontal="center"/>
    </xf>
    <xf numFmtId="0" fontId="0" fillId="0" borderId="0" xfId="0" applyProtection="1"/>
    <xf numFmtId="0" fontId="7" fillId="6" borderId="17" xfId="0" applyFont="1" applyFill="1" applyBorder="1" applyAlignment="1" applyProtection="1">
      <alignment horizontal="left" indent="1"/>
    </xf>
    <xf numFmtId="0" fontId="7" fillId="6" borderId="6" xfId="0" applyFont="1" applyFill="1" applyBorder="1" applyAlignment="1" applyProtection="1">
      <alignment horizontal="left" indent="1"/>
    </xf>
    <xf numFmtId="167" fontId="6" fillId="6" borderId="11" xfId="0" applyNumberFormat="1" applyFont="1" applyFill="1" applyBorder="1" applyAlignment="1" applyProtection="1">
      <alignment horizontal="center"/>
    </xf>
    <xf numFmtId="0" fontId="7" fillId="6" borderId="14" xfId="0" applyFont="1" applyFill="1" applyBorder="1" applyAlignment="1" applyProtection="1">
      <alignment horizontal="left" indent="1"/>
    </xf>
    <xf numFmtId="0" fontId="7" fillId="6" borderId="15" xfId="0" applyFont="1" applyFill="1" applyBorder="1" applyAlignment="1" applyProtection="1">
      <alignment horizontal="left" indent="1"/>
    </xf>
    <xf numFmtId="167" fontId="6" fillId="6" borderId="16" xfId="0" applyNumberFormat="1" applyFont="1" applyFill="1" applyBorder="1" applyAlignment="1" applyProtection="1">
      <alignment horizontal="center"/>
    </xf>
    <xf numFmtId="0" fontId="8" fillId="3" borderId="7" xfId="0" applyFont="1" applyFill="1" applyBorder="1" applyAlignment="1" applyProtection="1">
      <alignment horizontal="center" vertical="center"/>
    </xf>
    <xf numFmtId="0" fontId="8" fillId="3" borderId="8" xfId="0" applyFont="1" applyFill="1" applyBorder="1" applyAlignment="1" applyProtection="1">
      <alignment horizontal="center" vertical="center"/>
    </xf>
    <xf numFmtId="0" fontId="8" fillId="3" borderId="9" xfId="0" applyFont="1" applyFill="1" applyBorder="1" applyAlignment="1" applyProtection="1">
      <alignment horizontal="center" vertical="center"/>
    </xf>
    <xf numFmtId="0" fontId="4" fillId="0" borderId="0" xfId="0" applyFont="1" applyProtection="1"/>
    <xf numFmtId="0" fontId="7" fillId="6" borderId="10" xfId="0" applyFont="1" applyFill="1" applyBorder="1" applyAlignment="1" applyProtection="1">
      <alignment horizontal="left" indent="1"/>
    </xf>
    <xf numFmtId="8" fontId="6" fillId="6" borderId="5" xfId="0" applyNumberFormat="1" applyFont="1" applyFill="1" applyBorder="1" applyAlignment="1" applyProtection="1">
      <alignment horizontal="center"/>
    </xf>
    <xf numFmtId="8" fontId="6" fillId="6" borderId="11" xfId="0" applyNumberFormat="1" applyFont="1" applyFill="1" applyBorder="1" applyAlignment="1" applyProtection="1">
      <alignment horizontal="center"/>
    </xf>
    <xf numFmtId="0" fontId="7" fillId="6" borderId="17" xfId="0" applyFont="1" applyFill="1" applyBorder="1" applyAlignment="1" applyProtection="1">
      <alignment horizontal="left" indent="1"/>
    </xf>
    <xf numFmtId="8" fontId="6" fillId="6" borderId="6" xfId="0" applyNumberFormat="1" applyFont="1" applyFill="1" applyBorder="1" applyAlignment="1" applyProtection="1">
      <alignment horizontal="center"/>
    </xf>
    <xf numFmtId="8" fontId="6" fillId="6" borderId="13" xfId="0" applyNumberFormat="1" applyFont="1" applyFill="1" applyBorder="1" applyAlignment="1" applyProtection="1">
      <alignment horizontal="center"/>
    </xf>
    <xf numFmtId="0" fontId="7" fillId="6" borderId="14" xfId="0" applyFont="1" applyFill="1" applyBorder="1" applyAlignment="1" applyProtection="1">
      <alignment horizontal="left" indent="1"/>
    </xf>
    <xf numFmtId="8" fontId="6" fillId="6" borderId="15" xfId="0" applyNumberFormat="1" applyFont="1" applyFill="1" applyBorder="1" applyAlignment="1" applyProtection="1">
      <alignment horizontal="center"/>
    </xf>
    <xf numFmtId="8" fontId="6" fillId="6" borderId="16" xfId="0" applyNumberFormat="1" applyFont="1" applyFill="1" applyBorder="1" applyAlignment="1" applyProtection="1">
      <alignment horizontal="center"/>
    </xf>
    <xf numFmtId="0" fontId="9" fillId="7" borderId="0" xfId="0" applyFont="1" applyFill="1" applyAlignment="1" applyProtection="1">
      <alignment horizontal="center" vertical="center"/>
    </xf>
    <xf numFmtId="0" fontId="5" fillId="4" borderId="17" xfId="0" applyFont="1" applyFill="1" applyBorder="1" applyAlignment="1" applyProtection="1">
      <alignment horizontal="left" indent="1"/>
    </xf>
    <xf numFmtId="0" fontId="5" fillId="4" borderId="2" xfId="0" applyFont="1" applyFill="1" applyBorder="1" applyAlignment="1" applyProtection="1">
      <alignment horizontal="left" indent="1"/>
    </xf>
    <xf numFmtId="0" fontId="5" fillId="4" borderId="10" xfId="0" applyFont="1" applyFill="1" applyBorder="1" applyAlignment="1" applyProtection="1">
      <alignment horizontal="left" indent="1"/>
    </xf>
    <xf numFmtId="0" fontId="5" fillId="4" borderId="1" xfId="0" applyFont="1" applyFill="1" applyBorder="1" applyAlignment="1" applyProtection="1">
      <alignment horizontal="left" indent="1"/>
    </xf>
    <xf numFmtId="0" fontId="8" fillId="3" borderId="9" xfId="0" applyFont="1" applyFill="1" applyBorder="1" applyAlignment="1" applyProtection="1">
      <alignment horizontal="center" vertical="center"/>
    </xf>
    <xf numFmtId="0" fontId="5" fillId="4" borderId="12" xfId="0" applyFont="1" applyFill="1" applyBorder="1" applyAlignment="1" applyProtection="1">
      <alignment horizontal="left" indent="1"/>
    </xf>
    <xf numFmtId="0" fontId="5" fillId="4" borderId="31" xfId="0" applyFont="1" applyFill="1" applyBorder="1" applyAlignment="1" applyProtection="1">
      <alignment horizontal="left" indent="1"/>
    </xf>
    <xf numFmtId="0" fontId="8" fillId="8" borderId="7" xfId="0" applyFont="1" applyFill="1" applyBorder="1" applyAlignment="1" applyProtection="1">
      <alignment horizontal="center" vertical="center"/>
    </xf>
    <xf numFmtId="0" fontId="8" fillId="8" borderId="8" xfId="0" applyFont="1" applyFill="1" applyBorder="1" applyAlignment="1" applyProtection="1">
      <alignment horizontal="center" vertical="center"/>
    </xf>
    <xf numFmtId="0" fontId="8" fillId="8" borderId="9" xfId="0" applyFont="1" applyFill="1" applyBorder="1" applyAlignment="1" applyProtection="1">
      <alignment horizontal="center" vertical="center"/>
    </xf>
    <xf numFmtId="167" fontId="11" fillId="0" borderId="28" xfId="1" applyNumberFormat="1" applyFont="1" applyBorder="1" applyAlignment="1" applyProtection="1">
      <alignment horizontal="center"/>
      <protection locked="0"/>
    </xf>
    <xf numFmtId="10" fontId="11" fillId="0" borderId="30" xfId="0" applyNumberFormat="1" applyFont="1" applyBorder="1" applyAlignment="1" applyProtection="1">
      <alignment horizontal="center"/>
      <protection locked="0"/>
    </xf>
    <xf numFmtId="1" fontId="11" fillId="0" borderId="29" xfId="0" applyNumberFormat="1" applyFont="1" applyBorder="1" applyAlignment="1" applyProtection="1">
      <alignment horizontal="center"/>
      <protection locked="0"/>
    </xf>
    <xf numFmtId="0" fontId="10" fillId="0" borderId="32" xfId="2" applyFont="1" applyFill="1" applyBorder="1" applyAlignment="1" applyProtection="1">
      <alignment horizontal="center" vertical="center"/>
      <protection locked="0"/>
    </xf>
    <xf numFmtId="0" fontId="10" fillId="0" borderId="33" xfId="2" applyFont="1" applyFill="1" applyBorder="1" applyAlignment="1" applyProtection="1">
      <alignment horizontal="center" vertical="center"/>
      <protection locked="0"/>
    </xf>
    <xf numFmtId="167" fontId="0" fillId="4" borderId="35" xfId="0" applyNumberFormat="1" applyFont="1" applyFill="1" applyBorder="1" applyAlignment="1" applyProtection="1">
      <alignment horizontal="center"/>
    </xf>
    <xf numFmtId="167" fontId="0" fillId="4" borderId="34" xfId="0" applyNumberFormat="1" applyFont="1" applyFill="1" applyBorder="1" applyAlignment="1" applyProtection="1">
      <alignment horizontal="center"/>
    </xf>
    <xf numFmtId="0" fontId="0" fillId="4" borderId="36" xfId="2" applyFont="1" applyFill="1" applyBorder="1" applyAlignment="1" applyProtection="1">
      <alignment horizontal="center" vertical="center"/>
    </xf>
    <xf numFmtId="0" fontId="0" fillId="4" borderId="37" xfId="0" applyFont="1" applyFill="1" applyBorder="1" applyAlignment="1" applyProtection="1">
      <alignment horizontal="center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colors>
    <mruColors>
      <color rgb="FF0D384B"/>
      <color rgb="FFFBE3D6"/>
      <color rgb="FFFFFFFF"/>
      <color rgb="FF00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7183192069144222"/>
          <c:y val="0.10320040640081281"/>
          <c:w val="0.25633615861711556"/>
          <c:h val="0.64910930488527641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Planilha1!$B$37:$B$42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Planilha1!$C$37:$C$42</c:f>
              <c:numCache>
                <c:formatCode>0%</c:formatCode>
                <c:ptCount val="6"/>
                <c:pt idx="0">
                  <c:v>0.32</c:v>
                </c:pt>
                <c:pt idx="1">
                  <c:v>0.4</c:v>
                </c:pt>
                <c:pt idx="2">
                  <c:v>0.08</c:v>
                </c:pt>
                <c:pt idx="3">
                  <c:v>0.1</c:v>
                </c:pt>
                <c:pt idx="4">
                  <c:v>0.1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35-459C-8C54-D7C649AD6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1595298995268899"/>
          <c:y val="5.981119295571926E-2"/>
          <c:w val="0.34134242773793411"/>
          <c:h val="0.773522140377614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svg"/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5.svg"/><Relationship Id="rId5" Type="http://schemas.openxmlformats.org/officeDocument/2006/relationships/image" Target="../media/image4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257175</xdr:colOff>
      <xdr:row>0</xdr:row>
      <xdr:rowOff>123825</xdr:rowOff>
    </xdr:from>
    <xdr:to>
      <xdr:col>4</xdr:col>
      <xdr:colOff>414911</xdr:colOff>
      <xdr:row>10</xdr:row>
      <xdr:rowOff>47625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20FC036-7222-70F6-1285-49D0D8F60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123825"/>
          <a:ext cx="6729986" cy="1828800"/>
        </a:xfrm>
        <a:prstGeom prst="rect">
          <a:avLst/>
        </a:prstGeom>
      </xdr:spPr>
    </xdr:pic>
    <xdr:clientData/>
  </xdr:twoCellAnchor>
  <xdr:twoCellAnchor>
    <xdr:from>
      <xdr:col>1</xdr:col>
      <xdr:colOff>742951</xdr:colOff>
      <xdr:row>43</xdr:row>
      <xdr:rowOff>38100</xdr:rowOff>
    </xdr:from>
    <xdr:to>
      <xdr:col>4</xdr:col>
      <xdr:colOff>762001</xdr:colOff>
      <xdr:row>55</xdr:row>
      <xdr:rowOff>114300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467DDF3-5E6C-FF69-E6CD-A73624DF86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30</xdr:row>
      <xdr:rowOff>124152</xdr:rowOff>
    </xdr:from>
    <xdr:to>
      <xdr:col>1</xdr:col>
      <xdr:colOff>304800</xdr:colOff>
      <xdr:row>30</xdr:row>
      <xdr:rowOff>460484</xdr:rowOff>
    </xdr:to>
    <xdr:pic>
      <xdr:nvPicPr>
        <xdr:cNvPr id="22" name="Gráfico 21" descr="Calculadora com preenchimento sólido">
          <a:extLst>
            <a:ext uri="{FF2B5EF4-FFF2-40B4-BE49-F238E27FC236}">
              <a16:creationId xmlns:a16="http://schemas.microsoft.com/office/drawing/2014/main" id="{0FD9CEC4-D542-A8F7-F8FB-0510CF398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09600" y="6620202"/>
          <a:ext cx="304800" cy="336332"/>
        </a:xfrm>
        <a:prstGeom prst="rect">
          <a:avLst/>
        </a:prstGeom>
      </xdr:spPr>
    </xdr:pic>
    <xdr:clientData/>
  </xdr:twoCellAnchor>
  <xdr:oneCellAnchor>
    <xdr:from>
      <xdr:col>3</xdr:col>
      <xdr:colOff>352425</xdr:colOff>
      <xdr:row>30</xdr:row>
      <xdr:rowOff>476250</xdr:rowOff>
    </xdr:from>
    <xdr:ext cx="1224822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A7771170-2F52-AEDB-2BAD-EB1425053DFA}"/>
            </a:ext>
          </a:extLst>
        </xdr:cNvPr>
        <xdr:cNvSpPr txBox="1"/>
      </xdr:nvSpPr>
      <xdr:spPr>
        <a:xfrm>
          <a:off x="5734050" y="6972300"/>
          <a:ext cx="1224822" cy="26456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>
              <a:solidFill>
                <a:schemeClr val="accent1">
                  <a:lumMod val="75000"/>
                </a:schemeClr>
              </a:solidFill>
            </a:rPr>
            <a:t>Selecione</a:t>
          </a:r>
          <a:r>
            <a:rPr lang="pt-BR" sz="1100" baseline="0">
              <a:solidFill>
                <a:schemeClr val="accent1">
                  <a:lumMod val="75000"/>
                </a:schemeClr>
              </a:solidFill>
            </a:rPr>
            <a:t> o Perfil </a:t>
          </a:r>
          <a:endParaRPr lang="pt-BR" sz="11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 editAs="oneCell">
    <xdr:from>
      <xdr:col>4</xdr:col>
      <xdr:colOff>239663</xdr:colOff>
      <xdr:row>30</xdr:row>
      <xdr:rowOff>541125</xdr:rowOff>
    </xdr:from>
    <xdr:to>
      <xdr:col>4</xdr:col>
      <xdr:colOff>577682</xdr:colOff>
      <xdr:row>32</xdr:row>
      <xdr:rowOff>75930</xdr:rowOff>
    </xdr:to>
    <xdr:pic>
      <xdr:nvPicPr>
        <xdr:cNvPr id="25" name="Gráfico 24" descr="Seta: retorno vertical estrutura de tópicos">
          <a:extLst>
            <a:ext uri="{FF2B5EF4-FFF2-40B4-BE49-F238E27FC236}">
              <a16:creationId xmlns:a16="http://schemas.microsoft.com/office/drawing/2014/main" id="{6DC0DEB3-08C6-EAD6-EFFB-851B19DE2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rot="16200000" flipV="1">
          <a:off x="6827758" y="7021330"/>
          <a:ext cx="306330" cy="338019"/>
        </a:xfrm>
        <a:prstGeom prst="rect">
          <a:avLst/>
        </a:prstGeom>
        <a:effectLst>
          <a:softEdge rad="0"/>
        </a:effectLst>
      </xdr:spPr>
    </xdr:pic>
    <xdr:clientData/>
  </xdr:twoCellAnchor>
  <xdr:twoCellAnchor editAs="oneCell">
    <xdr:from>
      <xdr:col>4</xdr:col>
      <xdr:colOff>57150</xdr:colOff>
      <xdr:row>12</xdr:row>
      <xdr:rowOff>66674</xdr:rowOff>
    </xdr:from>
    <xdr:to>
      <xdr:col>4</xdr:col>
      <xdr:colOff>257175</xdr:colOff>
      <xdr:row>13</xdr:row>
      <xdr:rowOff>38099</xdr:rowOff>
    </xdr:to>
    <xdr:pic>
      <xdr:nvPicPr>
        <xdr:cNvPr id="34" name="Gráfico 33" descr="Lápis estrutura de tópicos">
          <a:extLst>
            <a:ext uri="{FF2B5EF4-FFF2-40B4-BE49-F238E27FC236}">
              <a16:creationId xmlns:a16="http://schemas.microsoft.com/office/drawing/2014/main" id="{B3AF519F-E61E-4428-AEB0-7CBFE4A6D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629400" y="2438399"/>
          <a:ext cx="200025" cy="200025"/>
        </a:xfrm>
        <a:prstGeom prst="rect">
          <a:avLst/>
        </a:prstGeom>
      </xdr:spPr>
    </xdr:pic>
    <xdr:clientData/>
  </xdr:twoCellAnchor>
  <xdr:twoCellAnchor>
    <xdr:from>
      <xdr:col>4</xdr:col>
      <xdr:colOff>266701</xdr:colOff>
      <xdr:row>11</xdr:row>
      <xdr:rowOff>190500</xdr:rowOff>
    </xdr:from>
    <xdr:to>
      <xdr:col>4</xdr:col>
      <xdr:colOff>1152525</xdr:colOff>
      <xdr:row>13</xdr:row>
      <xdr:rowOff>142874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A18FFFB7-53B9-439D-80FA-62D0DCC2FAD7}"/>
            </a:ext>
          </a:extLst>
        </xdr:cNvPr>
        <xdr:cNvSpPr txBox="1"/>
      </xdr:nvSpPr>
      <xdr:spPr>
        <a:xfrm>
          <a:off x="6838951" y="2295525"/>
          <a:ext cx="885824" cy="4476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accent2">
                  <a:lumMod val="75000"/>
                </a:schemeClr>
              </a:solidFill>
            </a:rPr>
            <a:t>Adicione</a:t>
          </a:r>
          <a:r>
            <a:rPr lang="pt-BR" sz="1100" baseline="0">
              <a:solidFill>
                <a:schemeClr val="accent2">
                  <a:lumMod val="40000"/>
                  <a:lumOff val="60000"/>
                </a:schemeClr>
              </a:solidFill>
            </a:rPr>
            <a:t> </a:t>
          </a:r>
          <a:r>
            <a:rPr lang="pt-BR" sz="1100" baseline="0">
              <a:solidFill>
                <a:schemeClr val="accent2">
                  <a:lumMod val="75000"/>
                </a:schemeClr>
              </a:solidFill>
            </a:rPr>
            <a:t>seus</a:t>
          </a:r>
          <a:r>
            <a:rPr lang="pt-BR" sz="1100" baseline="0">
              <a:solidFill>
                <a:schemeClr val="accent2">
                  <a:lumMod val="40000"/>
                  <a:lumOff val="60000"/>
                </a:schemeClr>
              </a:solidFill>
            </a:rPr>
            <a:t> </a:t>
          </a:r>
          <a:r>
            <a:rPr lang="pt-BR" sz="1100" baseline="0">
              <a:solidFill>
                <a:schemeClr val="accent2">
                  <a:lumMod val="75000"/>
                </a:schemeClr>
              </a:solidFill>
            </a:rPr>
            <a:t>dados</a:t>
          </a:r>
          <a:endParaRPr lang="pt-BR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  <xdr:twoCellAnchor editAs="oneCell">
    <xdr:from>
      <xdr:col>4</xdr:col>
      <xdr:colOff>95250</xdr:colOff>
      <xdr:row>17</xdr:row>
      <xdr:rowOff>171449</xdr:rowOff>
    </xdr:from>
    <xdr:to>
      <xdr:col>4</xdr:col>
      <xdr:colOff>295275</xdr:colOff>
      <xdr:row>18</xdr:row>
      <xdr:rowOff>142874</xdr:rowOff>
    </xdr:to>
    <xdr:pic>
      <xdr:nvPicPr>
        <xdr:cNvPr id="36" name="Gráfico 35" descr="Lápis estrutura de tópicos">
          <a:extLst>
            <a:ext uri="{FF2B5EF4-FFF2-40B4-BE49-F238E27FC236}">
              <a16:creationId xmlns:a16="http://schemas.microsoft.com/office/drawing/2014/main" id="{3119AEA3-C254-44A3-9D7D-A711BDFC4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6667500" y="3743324"/>
          <a:ext cx="200025" cy="200025"/>
        </a:xfrm>
        <a:prstGeom prst="rect">
          <a:avLst/>
        </a:prstGeom>
      </xdr:spPr>
    </xdr:pic>
    <xdr:clientData/>
  </xdr:twoCellAnchor>
  <xdr:twoCellAnchor>
    <xdr:from>
      <xdr:col>4</xdr:col>
      <xdr:colOff>304801</xdr:colOff>
      <xdr:row>17</xdr:row>
      <xdr:rowOff>28575</xdr:rowOff>
    </xdr:from>
    <xdr:to>
      <xdr:col>4</xdr:col>
      <xdr:colOff>1190625</xdr:colOff>
      <xdr:row>19</xdr:row>
      <xdr:rowOff>28574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63D9C1C2-0902-48F0-958A-89BFF7100EBC}"/>
            </a:ext>
          </a:extLst>
        </xdr:cNvPr>
        <xdr:cNvSpPr txBox="1"/>
      </xdr:nvSpPr>
      <xdr:spPr>
        <a:xfrm>
          <a:off x="6877051" y="3600450"/>
          <a:ext cx="885824" cy="44767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wrap="square" rtlCol="0" anchor="t"/>
        <a:lstStyle/>
        <a:p>
          <a:r>
            <a:rPr lang="pt-BR" sz="1100">
              <a:solidFill>
                <a:schemeClr val="accent2">
                  <a:lumMod val="75000"/>
                </a:schemeClr>
              </a:solidFill>
            </a:rPr>
            <a:t>Adicione</a:t>
          </a:r>
          <a:r>
            <a:rPr lang="pt-BR" sz="1100" baseline="0">
              <a:solidFill>
                <a:schemeClr val="accent2">
                  <a:lumMod val="40000"/>
                  <a:lumOff val="60000"/>
                </a:schemeClr>
              </a:solidFill>
            </a:rPr>
            <a:t> </a:t>
          </a:r>
          <a:r>
            <a:rPr lang="pt-BR" sz="1100" baseline="0">
              <a:solidFill>
                <a:schemeClr val="accent2">
                  <a:lumMod val="75000"/>
                </a:schemeClr>
              </a:solidFill>
            </a:rPr>
            <a:t>seus</a:t>
          </a:r>
          <a:r>
            <a:rPr lang="pt-BR" sz="1100" baseline="0">
              <a:solidFill>
                <a:schemeClr val="accent2">
                  <a:lumMod val="40000"/>
                  <a:lumOff val="60000"/>
                </a:schemeClr>
              </a:solidFill>
            </a:rPr>
            <a:t> </a:t>
          </a:r>
          <a:r>
            <a:rPr lang="pt-BR" sz="1100" baseline="0">
              <a:solidFill>
                <a:schemeClr val="accent2">
                  <a:lumMod val="75000"/>
                </a:schemeClr>
              </a:solidFill>
            </a:rPr>
            <a:t>dados</a:t>
          </a:r>
          <a:endParaRPr lang="pt-BR" sz="1100">
            <a:solidFill>
              <a:schemeClr val="accent2">
                <a:lumMod val="75000"/>
              </a:schemeClr>
            </a:solidFill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BB2E-A6B9-4C6B-A011-72F7A7601FAE}">
  <dimension ref="A1:F55"/>
  <sheetViews>
    <sheetView showGridLines="0" tabSelected="1" topLeftCell="A23" zoomScaleNormal="100" workbookViewId="0">
      <selection activeCell="C33" sqref="C33:D33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ColWidth="0" defaultRowHeight="15" zeroHeight="1" x14ac:dyDescent="0.25"/>
  <cols>
    <col min="1" max="1" width="9.140625" style="29" customWidth="1"/>
    <col min="2" max="2" width="40.7109375" style="29" bestFit="1" customWidth="1"/>
    <col min="3" max="3" width="30.85546875" style="29" bestFit="1" customWidth="1"/>
    <col min="4" max="4" width="17.85546875" style="29" bestFit="1" customWidth="1"/>
    <col min="5" max="5" width="20.42578125" style="29" customWidth="1"/>
    <col min="6" max="6" width="12.140625" hidden="1" customWidth="1"/>
    <col min="7" max="7" width="9.140625" hidden="1" customWidth="1"/>
    <col min="8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x14ac:dyDescent="0.25"/>
    <row r="10" spans="2:4" x14ac:dyDescent="0.25"/>
    <row r="11" spans="2:4" ht="15.75" thickBot="1" x14ac:dyDescent="0.3"/>
    <row r="12" spans="2:4" ht="21" customHeight="1" thickBot="1" x14ac:dyDescent="0.3">
      <c r="B12" s="57" t="s">
        <v>33</v>
      </c>
      <c r="C12" s="58"/>
      <c r="D12" s="59"/>
    </row>
    <row r="13" spans="2:4" ht="18" thickTop="1" x14ac:dyDescent="0.3">
      <c r="B13" s="52" t="s">
        <v>6</v>
      </c>
      <c r="C13" s="53"/>
      <c r="D13" s="60">
        <v>4200</v>
      </c>
    </row>
    <row r="14" spans="2:4" ht="18" thickBot="1" x14ac:dyDescent="0.35">
      <c r="B14" s="55" t="s">
        <v>7</v>
      </c>
      <c r="C14" s="56"/>
      <c r="D14" s="61">
        <v>6.0000000000000001E-3</v>
      </c>
    </row>
    <row r="15" spans="2:4" ht="18.75" thickTop="1" thickBot="1" x14ac:dyDescent="0.35">
      <c r="B15" s="33" t="s">
        <v>8</v>
      </c>
      <c r="C15" s="34"/>
      <c r="D15" s="35">
        <f>salário*30%</f>
        <v>1260</v>
      </c>
    </row>
    <row r="16" spans="2:4" ht="15.75" thickBot="1" x14ac:dyDescent="0.3"/>
    <row r="17" spans="1:5" ht="24" customHeight="1" thickBot="1" x14ac:dyDescent="0.3">
      <c r="B17" s="36" t="s">
        <v>32</v>
      </c>
      <c r="C17" s="37"/>
      <c r="D17" s="54"/>
    </row>
    <row r="18" spans="1:5" ht="18" thickTop="1" x14ac:dyDescent="0.3">
      <c r="B18" s="52" t="s">
        <v>4</v>
      </c>
      <c r="C18" s="53"/>
      <c r="D18" s="60">
        <v>1260</v>
      </c>
    </row>
    <row r="19" spans="1:5" ht="17.25" x14ac:dyDescent="0.3">
      <c r="B19" s="50" t="s">
        <v>3</v>
      </c>
      <c r="C19" s="51"/>
      <c r="D19" s="62">
        <v>18</v>
      </c>
    </row>
    <row r="20" spans="1:5" ht="18" thickBot="1" x14ac:dyDescent="0.35">
      <c r="B20" s="50" t="s">
        <v>2</v>
      </c>
      <c r="C20" s="51"/>
      <c r="D20" s="61">
        <v>1.0789999999999999E-2</v>
      </c>
    </row>
    <row r="21" spans="1:5" ht="18" thickTop="1" x14ac:dyDescent="0.3">
      <c r="B21" s="30" t="s">
        <v>1</v>
      </c>
      <c r="C21" s="31"/>
      <c r="D21" s="32">
        <f>FV(taxa_mensal,qtdd_anos*12,aporte*-1)</f>
        <v>1069298.2211563117</v>
      </c>
    </row>
    <row r="22" spans="1:5" ht="18" thickBot="1" x14ac:dyDescent="0.35">
      <c r="B22" s="33" t="s">
        <v>0</v>
      </c>
      <c r="C22" s="34"/>
      <c r="D22" s="35">
        <f>patrimonio*Rendimento_Carteira</f>
        <v>6415.7893269378701</v>
      </c>
    </row>
    <row r="23" spans="1:5" ht="15.75" thickBot="1" x14ac:dyDescent="0.3"/>
    <row r="24" spans="1:5" ht="23.25" customHeight="1" x14ac:dyDescent="0.25">
      <c r="B24" s="36" t="s">
        <v>31</v>
      </c>
      <c r="C24" s="37"/>
      <c r="D24" s="38" t="s">
        <v>5</v>
      </c>
    </row>
    <row r="25" spans="1:5" ht="17.25" x14ac:dyDescent="0.3">
      <c r="A25" s="39">
        <v>2</v>
      </c>
      <c r="B25" s="40" t="s">
        <v>25</v>
      </c>
      <c r="C25" s="41">
        <f>FV($D$20,$A25*12,$D$18*-1)</f>
        <v>34306.810395032975</v>
      </c>
      <c r="D25" s="42">
        <f>C25*Rendimento_Carteira</f>
        <v>205.84086237019787</v>
      </c>
    </row>
    <row r="26" spans="1:5" ht="17.25" x14ac:dyDescent="0.3">
      <c r="A26" s="39">
        <v>5</v>
      </c>
      <c r="B26" s="43" t="s">
        <v>26</v>
      </c>
      <c r="C26" s="44">
        <f>FV($D$20,$A26*12,$D$18*-1)</f>
        <v>105558.91163809443</v>
      </c>
      <c r="D26" s="45">
        <f>C26*Rendimento_Carteira</f>
        <v>633.35346982856663</v>
      </c>
    </row>
    <row r="27" spans="1:5" ht="17.25" x14ac:dyDescent="0.3">
      <c r="A27" s="39">
        <v>10</v>
      </c>
      <c r="B27" s="43" t="s">
        <v>27</v>
      </c>
      <c r="C27" s="44">
        <f>FV($D$20,$A27*12,$D$18*-1)</f>
        <v>306538.10778801696</v>
      </c>
      <c r="D27" s="45">
        <f>C27*Rendimento_Carteira</f>
        <v>1839.2286467281017</v>
      </c>
    </row>
    <row r="28" spans="1:5" ht="17.25" x14ac:dyDescent="0.3">
      <c r="A28" s="39">
        <v>20</v>
      </c>
      <c r="B28" s="43" t="s">
        <v>28</v>
      </c>
      <c r="C28" s="44">
        <f>FV($D$20,$A28*12,$D$18*-1)</f>
        <v>1417749.9841223215</v>
      </c>
      <c r="D28" s="45">
        <f>C28*Rendimento_Carteira</f>
        <v>8506.4999047339297</v>
      </c>
    </row>
    <row r="29" spans="1:5" ht="18" thickBot="1" x14ac:dyDescent="0.35">
      <c r="A29" s="39">
        <v>30</v>
      </c>
      <c r="B29" s="46" t="s">
        <v>29</v>
      </c>
      <c r="C29" s="47">
        <f>FV($D$20,$A29*12,$D$18*-1)</f>
        <v>5445933.7653059401</v>
      </c>
      <c r="D29" s="48">
        <f>C29*Rendimento_Carteira</f>
        <v>32675.602591835643</v>
      </c>
    </row>
    <row r="30" spans="1:5" x14ac:dyDescent="0.25">
      <c r="A30" s="39"/>
    </row>
    <row r="31" spans="1:5" ht="45" customHeight="1" x14ac:dyDescent="0.25">
      <c r="A31" s="17"/>
      <c r="B31" s="49" t="s">
        <v>30</v>
      </c>
      <c r="C31" s="17"/>
      <c r="D31" s="17"/>
      <c r="E31" s="17"/>
    </row>
    <row r="32" spans="1:5" ht="15.75" thickBot="1" x14ac:dyDescent="0.3">
      <c r="A32" s="17"/>
      <c r="B32" s="17"/>
      <c r="C32" s="17"/>
      <c r="D32" s="17"/>
      <c r="E32" s="17"/>
    </row>
    <row r="33" spans="1:5" ht="16.5" thickTop="1" thickBot="1" x14ac:dyDescent="0.3">
      <c r="A33" s="17"/>
      <c r="B33" s="67" t="s">
        <v>9</v>
      </c>
      <c r="C33" s="63" t="s">
        <v>24</v>
      </c>
      <c r="D33" s="64"/>
      <c r="E33" s="17"/>
    </row>
    <row r="34" spans="1:5" x14ac:dyDescent="0.25">
      <c r="A34" s="17"/>
      <c r="B34" s="68" t="s">
        <v>11</v>
      </c>
      <c r="C34" s="65">
        <f>aporte</f>
        <v>1260</v>
      </c>
      <c r="D34" s="66"/>
      <c r="E34" s="17"/>
    </row>
    <row r="35" spans="1:5" x14ac:dyDescent="0.25">
      <c r="A35" s="17"/>
      <c r="B35" s="17"/>
      <c r="C35" s="17"/>
      <c r="D35" s="17"/>
      <c r="E35" s="17"/>
    </row>
    <row r="36" spans="1:5" x14ac:dyDescent="0.25">
      <c r="A36" s="17"/>
      <c r="B36" s="18" t="s">
        <v>12</v>
      </c>
      <c r="C36" s="19" t="s">
        <v>13</v>
      </c>
      <c r="D36" s="20" t="s">
        <v>14</v>
      </c>
      <c r="E36" s="17"/>
    </row>
    <row r="37" spans="1:5" x14ac:dyDescent="0.25">
      <c r="A37" s="17"/>
      <c r="B37" s="21" t="s">
        <v>15</v>
      </c>
      <c r="C37" s="22">
        <f>VLOOKUP($C$33&amp;"-"&amp;B37,Planilha2!A2:D19,4,FALSE)</f>
        <v>0.32</v>
      </c>
      <c r="D37" s="23">
        <f>C37*$C$34</f>
        <v>403.2</v>
      </c>
      <c r="E37" s="17"/>
    </row>
    <row r="38" spans="1:5" x14ac:dyDescent="0.25">
      <c r="A38" s="17"/>
      <c r="B38" s="24" t="s">
        <v>16</v>
      </c>
      <c r="C38" s="22">
        <f>VLOOKUP($C$33&amp;"-"&amp;B38,Planilha2!A3:D20,4,FALSE)</f>
        <v>0.4</v>
      </c>
      <c r="D38" s="23">
        <f t="shared" ref="D38:D42" si="0">C38*$C$34</f>
        <v>504</v>
      </c>
      <c r="E38" s="17"/>
    </row>
    <row r="39" spans="1:5" x14ac:dyDescent="0.25">
      <c r="A39" s="17"/>
      <c r="B39" s="24" t="s">
        <v>17</v>
      </c>
      <c r="C39" s="22">
        <f>VLOOKUP($C$33&amp;"-"&amp;B39,Planilha2!A4:D21,4,FALSE)</f>
        <v>0.08</v>
      </c>
      <c r="D39" s="23">
        <f t="shared" si="0"/>
        <v>100.8</v>
      </c>
      <c r="E39" s="17"/>
    </row>
    <row r="40" spans="1:5" x14ac:dyDescent="0.25">
      <c r="A40" s="17"/>
      <c r="B40" s="24" t="s">
        <v>18</v>
      </c>
      <c r="C40" s="22">
        <f>VLOOKUP($C$33&amp;"-"&amp;B40,Planilha2!A5:D22,4,FALSE)</f>
        <v>0.1</v>
      </c>
      <c r="D40" s="23">
        <f t="shared" si="0"/>
        <v>126</v>
      </c>
      <c r="E40" s="17"/>
    </row>
    <row r="41" spans="1:5" x14ac:dyDescent="0.25">
      <c r="A41" s="17"/>
      <c r="B41" s="24" t="s">
        <v>19</v>
      </c>
      <c r="C41" s="22">
        <f>VLOOKUP($C$33&amp;"-"&amp;B41,Planilha2!A6:D23,4,FALSE)</f>
        <v>0.1</v>
      </c>
      <c r="D41" s="23">
        <f t="shared" si="0"/>
        <v>126</v>
      </c>
      <c r="E41" s="17"/>
    </row>
    <row r="42" spans="1:5" x14ac:dyDescent="0.25">
      <c r="A42" s="17"/>
      <c r="B42" s="25" t="s">
        <v>20</v>
      </c>
      <c r="C42" s="22">
        <f>VLOOKUP($C$33&amp;"-"&amp;B42,Planilha2!A7:D24,4,FALSE)</f>
        <v>0</v>
      </c>
      <c r="D42" s="23">
        <f t="shared" si="0"/>
        <v>0</v>
      </c>
      <c r="E42" s="17"/>
    </row>
    <row r="43" spans="1:5" x14ac:dyDescent="0.25">
      <c r="A43" s="17"/>
      <c r="B43" s="26"/>
      <c r="C43" s="27"/>
      <c r="D43" s="28">
        <f>SUM(D37:D42)</f>
        <v>1260</v>
      </c>
      <c r="E43" s="17"/>
    </row>
    <row r="44" spans="1:5" x14ac:dyDescent="0.25">
      <c r="A44" s="17"/>
      <c r="B44" s="17"/>
      <c r="C44" s="17"/>
      <c r="D44" s="17"/>
      <c r="E44" s="17"/>
    </row>
    <row r="45" spans="1:5" x14ac:dyDescent="0.25">
      <c r="A45" s="17"/>
      <c r="B45" s="17"/>
      <c r="C45" s="17"/>
      <c r="D45" s="17"/>
      <c r="E45" s="17"/>
    </row>
    <row r="46" spans="1:5" x14ac:dyDescent="0.25">
      <c r="A46" s="17"/>
      <c r="B46" s="17"/>
      <c r="C46" s="17"/>
      <c r="D46" s="17"/>
      <c r="E46" s="17"/>
    </row>
    <row r="47" spans="1:5" x14ac:dyDescent="0.25">
      <c r="A47" s="17"/>
      <c r="B47" s="17"/>
      <c r="C47" s="17"/>
      <c r="D47" s="17"/>
      <c r="E47" s="17"/>
    </row>
    <row r="48" spans="1:5" x14ac:dyDescent="0.25">
      <c r="A48" s="17"/>
      <c r="B48" s="17"/>
      <c r="C48" s="17"/>
      <c r="D48" s="17"/>
      <c r="E48" s="17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  <row r="54" spans="1:5" x14ac:dyDescent="0.25">
      <c r="A54" s="17"/>
      <c r="B54" s="17"/>
      <c r="C54" s="17"/>
      <c r="D54" s="17"/>
      <c r="E54" s="17"/>
    </row>
    <row r="55" spans="1:5" x14ac:dyDescent="0.25"/>
  </sheetData>
  <sheetProtection algorithmName="SHA-512" hashValue="cSgkfim/lKZrNdybLWb2qGAXjb6IEdYTaKbfzI2y2dlRzE9UnY/etc6x+35PIDoCi+01Ehu5SbiZNUuuk0/0NA==" saltValue="Msuk29F0+xc27C6ay9MIbg==" spinCount="100000" sheet="1" objects="1" scenarios="1"/>
  <mergeCells count="13">
    <mergeCell ref="C33:D33"/>
    <mergeCell ref="C34:D34"/>
    <mergeCell ref="B13:C13"/>
    <mergeCell ref="B14:C14"/>
    <mergeCell ref="B15:C15"/>
    <mergeCell ref="B12:D12"/>
    <mergeCell ref="B17:D17"/>
    <mergeCell ref="B24:C24"/>
    <mergeCell ref="B18:C18"/>
    <mergeCell ref="B19:C19"/>
    <mergeCell ref="B20:C20"/>
    <mergeCell ref="B21:C21"/>
    <mergeCell ref="B22:C22"/>
  </mergeCells>
  <dataValidations count="1">
    <dataValidation type="list" allowBlank="1" showInputMessage="1" showErrorMessage="1" sqref="C33" xr:uid="{5E32BE32-7B6F-4C87-80F6-FD6B8A4C3E9C}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D73E2-5757-49ED-8F9D-EAA5175D5945}">
  <dimension ref="A1:D19"/>
  <sheetViews>
    <sheetView workbookViewId="0">
      <selection activeCell="A21" sqref="A21"/>
    </sheetView>
  </sheetViews>
  <sheetFormatPr defaultRowHeight="15" x14ac:dyDescent="0.25"/>
  <cols>
    <col min="1" max="1" width="30.85546875" bestFit="1" customWidth="1"/>
    <col min="2" max="2" width="12.140625" bestFit="1" customWidth="1"/>
    <col min="3" max="3" width="18.5703125" bestFit="1" customWidth="1"/>
  </cols>
  <sheetData>
    <row r="1" spans="1:4" x14ac:dyDescent="0.25">
      <c r="A1" s="4" t="s">
        <v>23</v>
      </c>
      <c r="B1" s="4" t="s">
        <v>9</v>
      </c>
      <c r="C1" s="3" t="s">
        <v>12</v>
      </c>
      <c r="D1" s="3" t="s">
        <v>22</v>
      </c>
    </row>
    <row r="2" spans="1:4" x14ac:dyDescent="0.25">
      <c r="A2" s="6" t="str">
        <f>B2&amp;"-"&amp;C2</f>
        <v>Conservador-PAPEL</v>
      </c>
      <c r="B2" s="6" t="s">
        <v>21</v>
      </c>
      <c r="C2" s="7" t="s">
        <v>15</v>
      </c>
      <c r="D2" s="8">
        <v>0.3</v>
      </c>
    </row>
    <row r="3" spans="1:4" x14ac:dyDescent="0.25">
      <c r="A3" s="1" t="str">
        <f t="shared" ref="A3:A19" si="0">B3&amp;"-"&amp;C3</f>
        <v>Conservador-TIJOLO</v>
      </c>
      <c r="B3" s="1" t="s">
        <v>21</v>
      </c>
      <c r="C3" s="9" t="s">
        <v>16</v>
      </c>
      <c r="D3" s="10">
        <v>0.5</v>
      </c>
    </row>
    <row r="4" spans="1:4" x14ac:dyDescent="0.25">
      <c r="A4" s="1" t="str">
        <f t="shared" si="0"/>
        <v>Conservador-HÍBRIDOS</v>
      </c>
      <c r="B4" s="1" t="s">
        <v>21</v>
      </c>
      <c r="C4" s="9" t="s">
        <v>17</v>
      </c>
      <c r="D4" s="10">
        <v>0.1</v>
      </c>
    </row>
    <row r="5" spans="1:4" x14ac:dyDescent="0.25">
      <c r="A5" s="1" t="str">
        <f t="shared" si="0"/>
        <v>Conservador-FOFs</v>
      </c>
      <c r="B5" s="1" t="s">
        <v>21</v>
      </c>
      <c r="C5" s="9" t="s">
        <v>18</v>
      </c>
      <c r="D5" s="10">
        <v>0.1</v>
      </c>
    </row>
    <row r="6" spans="1:4" x14ac:dyDescent="0.25">
      <c r="A6" s="1" t="str">
        <f t="shared" si="0"/>
        <v>Conservador-DESENVOLVIMENTO</v>
      </c>
      <c r="B6" s="1" t="s">
        <v>21</v>
      </c>
      <c r="C6" s="9" t="s">
        <v>19</v>
      </c>
      <c r="D6" s="10">
        <v>0</v>
      </c>
    </row>
    <row r="7" spans="1:4" ht="15.75" thickBot="1" x14ac:dyDescent="0.3">
      <c r="A7" s="11" t="str">
        <f t="shared" si="0"/>
        <v>Conservador-HOTELARIAS</v>
      </c>
      <c r="B7" s="11" t="s">
        <v>21</v>
      </c>
      <c r="C7" s="12" t="s">
        <v>20</v>
      </c>
      <c r="D7" s="13">
        <v>0</v>
      </c>
    </row>
    <row r="8" spans="1:4" x14ac:dyDescent="0.25">
      <c r="A8" s="14" t="str">
        <f t="shared" si="0"/>
        <v>Moderado-PAPEL</v>
      </c>
      <c r="B8" s="14" t="s">
        <v>24</v>
      </c>
      <c r="C8" s="15" t="s">
        <v>15</v>
      </c>
      <c r="D8" s="16">
        <v>0.32</v>
      </c>
    </row>
    <row r="9" spans="1:4" x14ac:dyDescent="0.25">
      <c r="A9" s="1" t="str">
        <f t="shared" si="0"/>
        <v>Moderado-TIJOLO</v>
      </c>
      <c r="B9" s="1" t="s">
        <v>24</v>
      </c>
      <c r="C9" s="9" t="s">
        <v>16</v>
      </c>
      <c r="D9" s="10">
        <v>0.4</v>
      </c>
    </row>
    <row r="10" spans="1:4" x14ac:dyDescent="0.25">
      <c r="A10" s="1" t="str">
        <f t="shared" si="0"/>
        <v>Moderado-HÍBRIDOS</v>
      </c>
      <c r="B10" s="1" t="s">
        <v>24</v>
      </c>
      <c r="C10" s="9" t="s">
        <v>17</v>
      </c>
      <c r="D10" s="10">
        <v>0.08</v>
      </c>
    </row>
    <row r="11" spans="1:4" x14ac:dyDescent="0.25">
      <c r="A11" s="1" t="str">
        <f t="shared" si="0"/>
        <v>Moderado-FOFs</v>
      </c>
      <c r="B11" s="1" t="s">
        <v>24</v>
      </c>
      <c r="C11" s="9" t="s">
        <v>18</v>
      </c>
      <c r="D11" s="10">
        <v>0.1</v>
      </c>
    </row>
    <row r="12" spans="1:4" x14ac:dyDescent="0.25">
      <c r="A12" s="1" t="str">
        <f t="shared" si="0"/>
        <v>Moderado-DESENVOLVIMENTO</v>
      </c>
      <c r="B12" s="1" t="s">
        <v>24</v>
      </c>
      <c r="C12" s="9" t="s">
        <v>19</v>
      </c>
      <c r="D12" s="10">
        <v>0.1</v>
      </c>
    </row>
    <row r="13" spans="1:4" ht="15.75" thickBot="1" x14ac:dyDescent="0.3">
      <c r="A13" s="11" t="str">
        <f t="shared" si="0"/>
        <v>Moderado-HOTELARIAS</v>
      </c>
      <c r="B13" s="11" t="s">
        <v>24</v>
      </c>
      <c r="C13" s="12" t="s">
        <v>20</v>
      </c>
      <c r="D13" s="13">
        <v>0</v>
      </c>
    </row>
    <row r="14" spans="1:4" x14ac:dyDescent="0.25">
      <c r="A14" t="str">
        <f t="shared" si="0"/>
        <v>Agressivo-PAPEL</v>
      </c>
      <c r="B14" t="s">
        <v>10</v>
      </c>
      <c r="C14" s="2" t="s">
        <v>15</v>
      </c>
      <c r="D14" s="5">
        <v>0.5</v>
      </c>
    </row>
    <row r="15" spans="1:4" x14ac:dyDescent="0.25">
      <c r="A15" t="str">
        <f t="shared" si="0"/>
        <v>Agressivo-TIJOLO</v>
      </c>
      <c r="B15" t="s">
        <v>10</v>
      </c>
      <c r="C15" s="2" t="s">
        <v>16</v>
      </c>
      <c r="D15" s="5">
        <v>0.1</v>
      </c>
    </row>
    <row r="16" spans="1:4" x14ac:dyDescent="0.25">
      <c r="A16" t="str">
        <f t="shared" si="0"/>
        <v>Agressivo-HÍBRIDOS</v>
      </c>
      <c r="B16" t="s">
        <v>10</v>
      </c>
      <c r="C16" s="2" t="s">
        <v>17</v>
      </c>
      <c r="D16" s="5">
        <v>0.05</v>
      </c>
    </row>
    <row r="17" spans="1:4" x14ac:dyDescent="0.25">
      <c r="A17" t="str">
        <f t="shared" si="0"/>
        <v>Agressivo-FOFs</v>
      </c>
      <c r="B17" t="s">
        <v>10</v>
      </c>
      <c r="C17" s="2" t="s">
        <v>18</v>
      </c>
      <c r="D17" s="5">
        <v>0.05</v>
      </c>
    </row>
    <row r="18" spans="1:4" x14ac:dyDescent="0.25">
      <c r="A18" t="str">
        <f t="shared" si="0"/>
        <v>Agressivo-DESENVOLVIMENTO</v>
      </c>
      <c r="B18" t="s">
        <v>10</v>
      </c>
      <c r="C18" s="2" t="s">
        <v>19</v>
      </c>
      <c r="D18" s="5">
        <v>0.2</v>
      </c>
    </row>
    <row r="19" spans="1:4" x14ac:dyDescent="0.25">
      <c r="A19" t="str">
        <f t="shared" si="0"/>
        <v>Agressivo-HOTELARIAS</v>
      </c>
      <c r="B19" t="s">
        <v>10</v>
      </c>
      <c r="C19" s="2" t="s">
        <v>20</v>
      </c>
      <c r="D19" s="5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6</vt:i4>
      </vt:variant>
    </vt:vector>
  </HeadingPairs>
  <TitlesOfParts>
    <vt:vector size="8" baseType="lpstr">
      <vt:lpstr>Planilha1</vt:lpstr>
      <vt:lpstr>Planilha2</vt:lpstr>
      <vt:lpstr>aporte</vt:lpstr>
      <vt:lpstr>patrimonio</vt:lpstr>
      <vt:lpstr>qtdd_anos</vt:lpstr>
      <vt:lpstr>Rendimento_Carteira</vt:lpstr>
      <vt:lpstr>salário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 Rúbia Endres</dc:creator>
  <cp:lastModifiedBy>Mara Rúbia Endres</cp:lastModifiedBy>
  <dcterms:created xsi:type="dcterms:W3CDTF">2026-08-31T19:39:16Z</dcterms:created>
  <dcterms:modified xsi:type="dcterms:W3CDTF">2026-08-31T23:13:37Z</dcterms:modified>
</cp:coreProperties>
</file>